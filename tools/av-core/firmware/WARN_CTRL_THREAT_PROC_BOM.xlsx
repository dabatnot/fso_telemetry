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3933cbadc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WARN CTRL" sheetId="1" r:id="Rb6fb98499cb1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25563"/>
      <x:name val="Carlito"/>
    </x:font>
    <x:font>
      <x:sz val="11"/>
      <x:color rgb="FF513316"/>
      <x:name val="Carlito"/>
    </x:font>
    <x:font>
      <x:b/>
      <x:sz val="11"/>
      <x:color rgb="FF513316"/>
      <x:name val="Carlito"/>
    </x:font>
    <x:font>
      <x:b/>
      <x:sz val="11"/>
      <x:color rgb="FFFFFFFF"/>
      <x:name val="Carlito"/>
    </x:font>
    <x:font>
      <x:sz val="11"/>
      <x:color rgb="FF1D5FA7"/>
      <x:name val="Carlito"/>
    </x:font>
    <x:font>
      <x:i/>
      <x:sz val="9"/>
      <x:color rgb="FF425563"/>
      <x:name val="Carlito"/>
    </x:font>
    <x:font>
      <x:sz val="9"/>
      <x:color rgb="FF513316"/>
      <x:name val="Carlito"/>
    </x:font>
    <x:font>
      <x:i/>
      <x:sz val="10"/>
      <x:color rgb="FF546E7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12B"/>
      </x:patternFill>
    </x:fill>
    <x:fill>
      <x:patternFill patternType="solid">
        <x:fgColor rgb="FFEAF0F3"/>
      </x:patternFill>
    </x:fill>
    <x:fill>
      <x:patternFill patternType="solid">
        <x:fgColor rgb="FFFFF3E6"/>
      </x:patternFill>
    </x:fill>
    <x:fill>
      <x:patternFill patternType="solid">
        <x:fgColor rgb="FFC66A16"/>
      </x:patternFill>
    </x:fill>
  </x:fills>
  <x:borders count="12">
    <x:border/>
    <x:border>
      <x:left style="thin">
        <x:color rgb="FFF29A38"/>
      </x:left>
      <x:top style="thin">
        <x:color rgb="FFF29A38"/>
      </x:top>
      <x:bottom style="thin">
        <x:color rgb="FFF29A38"/>
      </x:bottom>
    </x:border>
    <x:border>
      <x:right style="thin">
        <x:color rgb="FFF29A38"/>
      </x:right>
      <x:top style="thin">
        <x:color rgb="FFF29A38"/>
      </x:top>
      <x:bottom style="thin">
        <x:color rgb="FFF29A38"/>
      </x:bottom>
    </x:border>
    <x:border>
      <x:bottom style="thin">
        <x:color rgb="FFD7E0E5"/>
      </x:bottom>
    </x:border>
    <x:border>
      <x:top style="thin">
        <x:color rgb="FFD7E0E5"/>
      </x:top>
      <x:bottom style="thin">
        <x:color rgb="FFD7E0E5"/>
      </x:bottom>
    </x:border>
    <x:border>
      <x:top style="thin">
        <x:color rgb="FFD7E0E5"/>
      </x:top>
    </x:border>
    <x:border>
      <x:left style="thin">
        <x:color rgb="FFF29A38"/>
      </x:left>
      <x:top style="thin">
        <x:color rgb="FFF29A38"/>
      </x:top>
    </x:border>
    <x:border>
      <x:top style="thin">
        <x:color rgb="FFF29A38"/>
      </x:top>
    </x:border>
    <x:border>
      <x:right style="thin">
        <x:color rgb="FFF29A38"/>
      </x:right>
      <x:top style="thin">
        <x:color rgb="FFF29A38"/>
      </x:top>
    </x:border>
    <x:border>
      <x:left style="thin">
        <x:color rgb="FFF29A38"/>
      </x:left>
      <x:bottom style="thin">
        <x:color rgb="FFF29A38"/>
      </x:bottom>
    </x:border>
    <x:border>
      <x:bottom style="thin">
        <x:color rgb="FFF29A38"/>
      </x:bottom>
    </x:border>
    <x:border>
      <x:right style="thin">
        <x:color rgb="FFF29A38"/>
      </x:right>
      <x:bottom style="thin">
        <x:color rgb="FFF29A38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200" fontId="0" fillId="0" borderId="3" xfId="0" applyNumberFormat="1" applyFont="1" applyFill="1" applyBorder="1" applyAlignment="1">
      <x:alignment horizontal="center" vertical="top" wrapText="1"/>
    </x:xf>
    <x:xf numFmtId="200" fontId="0" fillId="0" borderId="4" xfId="0" applyNumberFormat="1" applyFont="1" applyFill="1" applyBorder="1" applyAlignment="1">
      <x:alignment horizontal="center" vertical="top" wrapText="1"/>
    </x:xf>
    <x:xf numFmtId="200" fontId="0" fillId="0" borderId="5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6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0" fontId="8" fillId="4" borderId="9" xfId="0" applyNumberFormat="1" applyFont="1" applyFill="1" applyBorder="1" applyAlignment="1">
      <x:alignment vertical="center" wrapText="1"/>
    </x:xf>
    <x:xf numFmtId="0" fontId="8" fillId="4" borderId="10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d0ee561bf4d52" /><Relationship Type="http://schemas.openxmlformats.org/officeDocument/2006/relationships/theme" Target="/xl/theme/theme1.xml" Id="R0b5448e786674476" /><Relationship Type="http://schemas.openxmlformats.org/officeDocument/2006/relationships/sharedStrings" Target="/xl/sharedStrings.xml" Id="Rc1ca2034c5f64902" /><Relationship Type="http://schemas.openxmlformats.org/officeDocument/2006/relationships/worksheet" Target="/xl/worksheets/sheet1.xml" Id="Rb6fb98499cb146a8" /></Relationships>
</file>

<file path=xl/tables/table1.xml><?xml version="1.0" encoding="utf-8"?>
<x:table xmlns:x="http://schemas.openxmlformats.org/spreadsheetml/2006/main" id="1" name="WarnCtrlBomTable" displayName="WarnCtrlBomTable" ref="A5:F21" headerRowCount="1" totalsRowCount="0" totalsRowShown="0">
  <x:autoFilter ref="A5:F21"/>
  <x:tableColumns count="6">
    <x:tableColumn id="1" name="Catégorie"/>
    <x:tableColumn id="2" name="Quantité"/>
    <x:tableColumn id="3" name="Composant"/>
    <x:tableColumn id="4" name="Caractéristiques requises"/>
    <x:tableColumn id="5" name="Remarque / usage"/>
    <x:tableColumn id="6" name="Réfé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a2c973e9f14a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4" hidden="0" customWidth="1"/>
    <x:col min="4" max="4" width="50" hidden="0" customWidth="1"/>
    <x:col min="5" max="5" width="50" hidden="0" customWidth="1"/>
    <x:col min="6" max="6" width="43" hidden="0" customWidth="1"/>
  </x:cols>
  <x:sheetData>
    <x:row r="1" ht="34" customHeight="1">
      <x:c r="A1" s="3" t="str">
        <x:v>WARN CTRL + THREAT PROC — Bill of Materials</x:v>
      </x:c>
      <x:c r="B1" s="3"/>
      <x:c r="C1" s="3"/>
      <x:c r="D1" s="3"/>
      <x:c r="E1" s="3"/>
      <x:c r="F1" s="3"/>
    </x:row>
    <x:row r="2" ht="24" customHeight="1">
      <x:c r="A2" s="57" t="str">
        <x:v>Deux ESP32 DevKit V1 · deux MCP2515/TJA1050 · deux TXS0108E · 32 mini-PCB WS2812B ECO</x:v>
      </x:c>
      <x:c r="B2" s="57"/>
      <x:c r="C2" s="57"/>
      <x:c r="D2" s="57"/>
      <x:c r="E2" s="57"/>
      <x:c r="F2" s="57"/>
    </x:row>
    <x:row r="3">
      <x:c r="A3" s="13" t="str">
        <x:v>Nombre de références</x:v>
      </x:c>
      <x:c r="B3" s="14" t="n">
        <x:f>COUNTA(C6:C21)</x:f>
        <x:v>16</x:v>
      </x:c>
      <x:c r="D3" s="13" t="str">
        <x:v>Quantité totale chiffrée</x:v>
      </x:c>
      <x:c r="E3" s="14" t="n">
        <x:f>SUM(B6:B21)</x:f>
        <x:v>52</x:v>
      </x:c>
    </x:row>
    <x:row r="5" ht="30" customHeight="1">
      <x:c r="A5" s="18" t="str">
        <x:v>Catégorie</x:v>
      </x:c>
      <x:c r="B5" s="18" t="str">
        <x:v>Quantité</x:v>
      </x:c>
      <x:c r="C5" s="18" t="str">
        <x:v>Composant</x:v>
      </x:c>
      <x:c r="D5" s="18" t="str">
        <x:v>Caractéristiques requises</x:v>
      </x:c>
      <x:c r="E5" s="18" t="str">
        <x:v>Remarque / usage</x:v>
      </x:c>
      <x:c r="F5" s="18" t="str">
        <x:v>Référence</x:v>
      </x:c>
    </x:row>
    <x:row r="6" ht="26.399999618530273" hidden="0" customHeight="1">
      <x:c r="A6" s="25" t="str">
        <x:v>Électronique principale</x:v>
      </x:c>
      <x:c r="B6" s="31" t="n">
        <x:v>2</x:v>
      </x:c>
      <x:c r="C6" s="25" t="str">
        <x:v>ESP32 DevKit V1</x:v>
      </x:c>
      <x:c r="D6" s="25" t="str">
        <x:v>ESP32-WROOM-32, logique 3,3 V</x:v>
      </x:c>
      <x:c r="E6" s="25" t="str">
        <x:v>Un pour WARN CTRL, un pour THREAT PROC ; cible PlatformIO esp32dev</x:v>
      </x:c>
      <x:c r="F6" s="34" t="str"/>
    </x:row>
    <x:row r="7" ht="15" hidden="0" customHeight="1">
      <x:c r="A7" s="26" t="str">
        <x:v>Électronique principale</x:v>
      </x:c>
      <x:c r="B7" s="32" t="n">
        <x:v>2</x:v>
      </x:c>
      <x:c r="C7" s="26" t="str">
        <x:v>Module MCP2515/TJA1050</x:v>
      </x:c>
      <x:c r="D7" s="26" t="str">
        <x:v>Alimentation 5 V, quartz 8 MHz, CAN 1 Mbit/s</x:v>
      </x:c>
      <x:c r="E7" s="26" t="str">
        <x:v>Un par module ; terminaison 120 Ω désactivable par cavalier</x:v>
      </x:c>
      <x:c r="F7" s="35" t="str">
        <x:v>https://www.amazon.fr/dp/B08GLYND71</x:v>
      </x:c>
    </x:row>
    <x:row r="8" ht="15" hidden="0" customHeight="1">
      <x:c r="A8" s="26" t="str">
        <x:v>Électronique principale</x:v>
      </x:c>
      <x:c r="B8" s="32" t="n">
        <x:v>2</x:v>
      </x:c>
      <x:c r="C8" s="26" t="str">
        <x:v>Module EPLZON TXS0108E</x:v>
      </x:c>
      <x:c r="D8" s="26" t="str">
        <x:v>8 canaux ; VA, VB, OE, A1..A8 et B1..B8 accessibles</x:v>
      </x:c>
      <x:c r="E8" s="26" t="str">
        <x:v>Un par module pour SPI, INT et données WS2812</x:v>
      </x:c>
      <x:c r="F8" s="35" t="str">
        <x:v>https://www.amazon.fr/dp/B0B58CL7RB</x:v>
      </x:c>
    </x:row>
    <x:row r="9" ht="26.399999618530273" hidden="0" customHeight="1">
      <x:c r="A9" s="26" t="str">
        <x:v>Électronique principale</x:v>
      </x:c>
      <x:c r="B9" s="32" t="n">
        <x:v>32</x:v>
      </x:c>
      <x:c r="C9" s="26" t="str">
        <x:v>Mini-PCB BTF-LIGHTING WS2812B ECO</x:v>
      </x:c>
      <x:c r="D9" s="26" t="str">
        <x:v>5 V, 800 kHz, ordre GRB ; boîte de 100 pièces</x:v>
      </x:c>
      <x:c r="E9" s="26" t="str">
        <x:v>23 pour WARN CTRL, 9 pour THREAT PROC ; C1 et R1=75 Ω intégrés</x:v>
      </x:c>
      <x:c r="F9" s="35" t="str">
        <x:v>https://www.amazon.fr/dp/B088K6C7TJ</x:v>
      </x:c>
    </x:row>
    <x:row r="10" ht="15" hidden="0" customHeight="1">
      <x:c r="A10" s="26" t="str">
        <x:v>Électronique principale</x:v>
      </x:c>
      <x:c r="B10" s="32" t="n">
        <x:v>1</x:v>
      </x:c>
      <x:c r="C10" s="26" t="str">
        <x:v>Potentiomètre linéaire</x:v>
      </x:c>
      <x:c r="D10" s="26" t="str">
        <x:v>10 kΩ</x:v>
      </x:c>
      <x:c r="E10" s="26" t="str">
        <x:v>Commande BRT</x:v>
      </x:c>
      <x:c r="F10" s="35" t="str"/>
    </x:row>
    <x:row r="11" ht="15" hidden="0" customHeight="1">
      <x:c r="A11" s="26" t="str">
        <x:v>Électronique principale</x:v>
      </x:c>
      <x:c r="B11" s="32" t="n">
        <x:v>1</x:v>
      </x:c>
      <x:c r="C11" s="26" t="str">
        <x:v>Poussoir momentané normalement ouvert</x:v>
      </x:c>
      <x:c r="D11" s="26" t="str">
        <x:v>Contact sec</x:v>
      </x:c>
      <x:c r="E11" s="26" t="str">
        <x:v>Commande LAMP TEST active bas</x:v>
      </x:c>
      <x:c r="F11" s="35" t="str"/>
    </x:row>
    <x:row r="12" ht="26.399999618530273" hidden="0" customHeight="1">
      <x:c r="A12" s="26" t="str">
        <x:v>Alimentation et protection</x:v>
      </x:c>
      <x:c r="B12" s="32" t="n">
        <x:v>2</x:v>
      </x:c>
      <x:c r="C12" s="26" t="str">
        <x:v>Alimentation régulée</x:v>
      </x:c>
      <x:c r="D12" s="26" t="str">
        <x:v>5 V ; 2 A minimum pour WARN CTRL, 1 A minimum pour THREAT PROC</x:v>
      </x:c>
      <x:c r="E12" s="26" t="str">
        <x:v>Une alimentation séparée pour chaque chaîne de pixels</x:v>
      </x:c>
      <x:c r="F12" s="35" t="str"/>
    </x:row>
    <x:row r="13" ht="15" hidden="0" customHeight="1">
      <x:c r="A13" s="26" t="str">
        <x:v>Alimentation et protection</x:v>
      </x:c>
      <x:c r="B13" s="32" t="n">
        <x:v>2</x:v>
      </x:c>
      <x:c r="C13" s="26" t="str">
        <x:v>Condensateur électrolytique</x:v>
      </x:c>
      <x:c r="D13" s="26" t="str">
        <x:v>Environ 1000 µF, tension nominale 10 V ou plus</x:v>
      </x:c>
      <x:c r="E13" s="26" t="str">
        <x:v>Un près du premier pixel de chaque chaîne ; respecter la polarité</x:v>
      </x:c>
      <x:c r="F13" s="35" t="str"/>
    </x:row>
    <x:row r="14" ht="26.399999618530273" hidden="0" customHeight="1">
      <x:c r="A14" s="26" t="str">
        <x:v>Alimentation et protection</x:v>
      </x:c>
      <x:c r="B14" s="32" t="n">
        <x:v>2</x:v>
      </x:c>
      <x:c r="C14" s="26" t="str">
        <x:v>Résistance de données</x:v>
      </x:c>
      <x:c r="D14" s="26" t="str">
        <x:v>330 à 470 Ω, 1/4 W</x:v>
      </x:c>
      <x:c r="E14" s="26" t="str">
        <x:v>Une entre TXS0108E B6 et DIN de chaque chaîne ; R1=75 Ω reste intégrée à chaque mini-PCB</x:v>
      </x:c>
      <x:c r="F14" s="35" t="str"/>
    </x:row>
    <x:row r="15" ht="15" hidden="0" customHeight="1">
      <x:c r="A15" s="26" t="str">
        <x:v>Alimentation et protection</x:v>
      </x:c>
      <x:c r="B15" s="32" t="n">
        <x:v>2</x:v>
      </x:c>
      <x:c r="C15" s="26" t="str">
        <x:v>Connecteur d’alimentation</x:v>
      </x:c>
      <x:c r="D15" s="26" t="str">
        <x:v>Adapté à chaque alimentation 5 V et à son courant maximal</x:v>
      </x:c>
      <x:c r="E15" s="26" t="str">
        <x:v>Une entrée d’alimentation par chaîne de pixels</x:v>
      </x:c>
      <x:c r="F15" s="35" t="str"/>
    </x:row>
    <x:row r="16" ht="26.399999618530273" hidden="0" customHeight="1">
      <x:c r="A16" s="26" t="str">
        <x:v>Câblage et assemblage</x:v>
      </x:c>
      <x:c r="B16" s="32" t="str">
        <x:v>Selon implantation</x:v>
      </x:c>
      <x:c r="C16" s="26" t="str">
        <x:v>Paire torsadée</x:v>
      </x:c>
      <x:c r="D16" s="26" t="str">
        <x:v>Impédance adaptée au câblage CAN</x:v>
      </x:c>
      <x:c r="E16" s="26" t="str">
        <x:v>Tronc CANH/CANL entre Raspberry Pi, WARN CTRL et THREAT PROC</x:v>
      </x:c>
      <x:c r="F16" s="35" t="str"/>
    </x:row>
    <x:row r="17" ht="26.399999618530273" hidden="0" customHeight="1">
      <x:c r="A17" s="26" t="str">
        <x:v>Câblage et assemblage</x:v>
      </x:c>
      <x:c r="B17" s="32" t="str">
        <x:v>Selon besoin</x:v>
      </x:c>
      <x:c r="C17" s="26" t="str">
        <x:v>Fil 20 à 22 AWG</x:v>
      </x:c>
      <x:c r="D17" s="26" t="str">
        <x:v>Conducteur souple ou rigide selon le montage</x:v>
      </x:c>
      <x:c r="E17" s="26" t="str">
        <x:v>Distribution +5 V/GND ; réinjection WARN CTRL aux LED 0, 10 et 20</x:v>
      </x:c>
      <x:c r="F17" s="35" t="str"/>
    </x:row>
    <x:row r="18" ht="26.399999618530273" hidden="0" customHeight="1">
      <x:c r="A18" s="26" t="str">
        <x:v>Câblage et assemblage</x:v>
      </x:c>
      <x:c r="B18" s="32" t="str">
        <x:v>Selon besoin</x:v>
      </x:c>
      <x:c r="C18" s="26" t="str">
        <x:v>Fil 24 à 28 AWG</x:v>
      </x:c>
      <x:c r="D18" s="26" t="str">
        <x:v>Conducteur adapté aux signaux basse puissance</x:v>
      </x:c>
      <x:c r="E18" s="26" t="str">
        <x:v>SPI, INT et données LED des deux modules ; bouton et potentiomètre de WARN CTRL</x:v>
      </x:c>
      <x:c r="F18" s="35" t="str"/>
    </x:row>
    <x:row r="19" ht="15" hidden="0" customHeight="1">
      <x:c r="A19" s="26" t="str">
        <x:v>Câblage et assemblage</x:v>
      </x:c>
      <x:c r="B19" s="32" t="str">
        <x:v>Selon besoin</x:v>
      </x:c>
      <x:c r="C19" s="26" t="str">
        <x:v>Barrettes mâles/femelles</x:v>
      </x:c>
      <x:c r="D19" s="26" t="str">
        <x:v>Pas de 2,54 mm</x:v>
      </x:c>
      <x:c r="E19" s="26" t="str">
        <x:v>Deux ensembles ESP32, TXS0108E et MCP2515</x:v>
      </x:c>
      <x:c r="F19" s="35" t="str"/>
    </x:row>
    <x:row r="20" ht="26.399999618530273" hidden="0" customHeight="1">
      <x:c r="A20" s="26" t="str">
        <x:v>Câblage et assemblage</x:v>
      </x:c>
      <x:c r="B20" s="32" t="n">
        <x:v>2</x:v>
      </x:c>
      <x:c r="C20" s="26" t="str">
        <x:v>Plaque de prototypage ou circuit de distribution</x:v>
      </x:c>
      <x:c r="D20" s="26" t="str">
        <x:v>Dimensionnée pour le montage retenu</x:v>
      </x:c>
      <x:c r="E20" s="26" t="str">
        <x:v>Une par module pour maintien mécanique et distribution des signaux</x:v>
      </x:c>
      <x:c r="F20" s="35" t="str"/>
    </x:row>
    <x:row r="21" ht="15" hidden="0" customHeight="1">
      <x:c r="A21" s="27" t="str">
        <x:v>Câblage et assemblage</x:v>
      </x:c>
      <x:c r="B21" s="33" t="n">
        <x:v>2</x:v>
      </x:c>
      <x:c r="C21" s="27" t="str">
        <x:v>Câble USB de données</x:v>
      </x:c>
      <x:c r="D21" s="27" t="str">
        <x:v>Compatible avec le connecteur de l’ESP32</x:v>
      </x:c>
      <x:c r="E21" s="27" t="str">
        <x:v>Alimentation et programmation des deux ESP32</x:v>
      </x:c>
      <x:c r="F21" s="36" t="str"/>
    </x:row>
    <x:row r="23" ht="21" customHeight="1">
      <x:c r="A23" s="37" t="str">
        <x:v>Source : tools/av-core/firmware/WIRING.md</x:v>
      </x:c>
      <x:c r="B23" s="37"/>
      <x:c r="C23" s="37"/>
      <x:c r="D23" s="37"/>
      <x:c r="E23" s="37"/>
      <x:c r="F23" s="37"/>
    </x:row>
    <x:row r="24" ht="28" customHeight="1">
      <x:c r="A24" s="51" t="str">
        <x:v>Le Raspberry Pi et son Waveshare 2-CH CAN HAT+ ne sont pas comptés dans cette BOM côté ESP32. Le bus réunit trois nœuds et conserve exactement deux terminaisons de 120 Ω. WARN CTRL utilise 23 pixels avec réinjection 5 V/GND aux LED 0, 10 et 20 ; THREAT PROC utilise une chaîne indépendante de 9 pixels. Ne pas faire passer le courant des pixels dans des fils Dupont ou les rails d’une breadboard sans soudure.</x:v>
      </x:c>
      <x:c r="B24" s="52"/>
      <x:c r="C24" s="52"/>
      <x:c r="D24" s="52"/>
      <x:c r="E24" s="52"/>
      <x:c r="F24" s="53"/>
    </x:row>
    <x:row r="25" ht="28" customHeight="1">
      <x:c r="A25" s="54"/>
      <x:c r="B25" s="55"/>
      <x:c r="C25" s="55"/>
      <x:c r="D25" s="55"/>
      <x:c r="E25" s="55"/>
      <x:c r="F25" s="56"/>
    </x:row>
  </x:sheetData>
  <x:mergeCells>
    <x:mergeCell ref="A1:F1"/>
    <x:mergeCell ref="A2:F2"/>
    <x:mergeCell ref="A23:F23"/>
    <x:mergeCell ref="A24:F25"/>
  </x:mergeCells>
  <x:pageMargins left="0.7" right="0.7" top="0.75" bottom="0.75" header="0.3" footer="0.3"/>
  <x:tableParts count="1">
    <x:tablePart xmlns:r="http://schemas.openxmlformats.org/officeDocument/2006/relationships" r:id="R60a2c973e9f14a48"/>
  </x:tableParts>
</x:worksheet>
</file>